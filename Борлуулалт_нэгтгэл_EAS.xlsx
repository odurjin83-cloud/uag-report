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Нэхэмжлэх" sheetId="1" state="visible" r:id="rId1"/>
    <sheet name="Мөрүүд" sheetId="2" state="visible" r:id="rId2"/>
    <sheet name="Сараар" sheetId="3" state="visible" r:id="rId3"/>
    <sheet name="Бараагаар" sheetId="4" state="visible" r:id="rId4"/>
  </sheets>
  <definedNames>
    <definedName name="_xlnm._FilterDatabase" localSheetId="1" hidden="1">'Мөрүүд'!$A$1:$N$33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&quot;-&quot;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1" customWidth="1" min="3" max="3"/>
    <col width="13" customWidth="1" min="4" max="4"/>
    <col width="10" customWidth="1" min="5" max="5"/>
    <col width="16" customWidth="1" min="6" max="6"/>
    <col width="18" customWidth="1" min="7" max="7"/>
    <col width="10" customWidth="1" min="8" max="8"/>
    <col width="16" customWidth="1" min="9" max="9"/>
    <col width="14" customWidth="1" min="10" max="10"/>
  </cols>
  <sheetData>
    <row r="1">
      <c r="A1" s="1" t="inlineStr">
        <is>
          <t>Хуудас</t>
        </is>
      </c>
      <c r="B1" s="1" t="inlineStr">
        <is>
          <t>Огноо</t>
        </is>
      </c>
      <c r="C1" s="1" t="inlineStr">
        <is>
          <t>PO дугаар</t>
        </is>
      </c>
      <c r="D1" s="1" t="inlineStr">
        <is>
          <t>Банк</t>
        </is>
      </c>
      <c r="E1" s="1" t="inlineStr">
        <is>
          <t>Мөрийн тоо</t>
        </is>
      </c>
      <c r="F1" s="1" t="inlineStr">
        <is>
          <t>Нийт (мөрөөс)</t>
        </is>
      </c>
      <c r="G1" s="1" t="inlineStr">
        <is>
          <t>Нэхэмжлэх дээрх дүн</t>
        </is>
      </c>
      <c r="H1" s="1" t="inlineStr">
        <is>
          <t>Зөрүү</t>
        </is>
      </c>
      <c r="I1" s="1" t="inlineStr">
        <is>
          <t>НӨАТ-гүй</t>
        </is>
      </c>
      <c r="J1" s="1" t="inlineStr">
        <is>
          <t>НӨАТ 10%</t>
        </is>
      </c>
    </row>
    <row r="2">
      <c r="A2" t="n">
        <v>1</v>
      </c>
      <c r="B2" t="inlineStr">
        <is>
          <t>2026-07-28</t>
        </is>
      </c>
      <c r="C2" t="inlineStr">
        <is>
          <t>26-1102</t>
        </is>
      </c>
      <c r="D2" t="inlineStr">
        <is>
          <t>М банк</t>
        </is>
      </c>
      <c r="E2" s="2">
        <f>COUNTIF(Мөрүүд!C:C,C2)</f>
        <v/>
      </c>
      <c r="F2" s="2">
        <f>SUMIF(Мөрүүд!C:C,C2,Мөрүүд!L:L)</f>
        <v/>
      </c>
      <c r="G2" s="2" t="n">
        <v>16830000</v>
      </c>
      <c r="H2" s="2">
        <f>F2-G2</f>
        <v/>
      </c>
      <c r="I2" s="2">
        <f>F2/1.1</f>
        <v/>
      </c>
      <c r="J2" s="2">
        <f>F2-I2</f>
        <v/>
      </c>
    </row>
    <row r="3">
      <c r="A3" t="n">
        <v>2</v>
      </c>
      <c r="B3" t="inlineStr">
        <is>
          <t>2026-07-28</t>
        </is>
      </c>
      <c r="C3" t="inlineStr">
        <is>
          <t>26-1105</t>
        </is>
      </c>
      <c r="D3" t="inlineStr">
        <is>
          <t>М банк</t>
        </is>
      </c>
      <c r="E3" s="2">
        <f>COUNTIF(Мөрүүд!C:C,C3)</f>
        <v/>
      </c>
      <c r="F3" s="2">
        <f>SUMIF(Мөрүүд!C:C,C3,Мөрүүд!L:L)</f>
        <v/>
      </c>
      <c r="G3" s="2" t="n">
        <v>7733000</v>
      </c>
      <c r="H3" s="2">
        <f>F3-G3</f>
        <v/>
      </c>
      <c r="I3" s="2">
        <f>F3/1.1</f>
        <v/>
      </c>
      <c r="J3" s="2">
        <f>F3-I3</f>
        <v/>
      </c>
    </row>
    <row r="4">
      <c r="A4" t="n">
        <v>3</v>
      </c>
      <c r="B4" t="inlineStr">
        <is>
          <t>2026-08-04</t>
        </is>
      </c>
      <c r="C4" t="inlineStr">
        <is>
          <t>26-1106</t>
        </is>
      </c>
      <c r="D4" t="inlineStr">
        <is>
          <t>М банк</t>
        </is>
      </c>
      <c r="E4" s="2">
        <f>COUNTIF(Мөрүүд!C:C,C4)</f>
        <v/>
      </c>
      <c r="F4" s="2">
        <f>SUMIF(Мөрүүд!C:C,C4,Мөрүүд!L:L)</f>
        <v/>
      </c>
      <c r="G4" s="2" t="n">
        <v>19470000</v>
      </c>
      <c r="H4" s="2">
        <f>F4-G4</f>
        <v/>
      </c>
      <c r="I4" s="2">
        <f>F4/1.1</f>
        <v/>
      </c>
      <c r="J4" s="2">
        <f>F4-I4</f>
        <v/>
      </c>
    </row>
    <row r="5">
      <c r="A5" t="n">
        <v>4</v>
      </c>
      <c r="B5" t="inlineStr">
        <is>
          <t>2026-08-05</t>
        </is>
      </c>
      <c r="C5" t="inlineStr">
        <is>
          <t>26-1107</t>
        </is>
      </c>
      <c r="D5" t="inlineStr">
        <is>
          <t>М банк</t>
        </is>
      </c>
      <c r="E5" s="2">
        <f>COUNTIF(Мөрүүд!C:C,C5)</f>
        <v/>
      </c>
      <c r="F5" s="2">
        <f>SUMIF(Мөрүүд!C:C,C5,Мөрүүд!L:L)</f>
        <v/>
      </c>
      <c r="G5" s="2" t="n">
        <v>10890000</v>
      </c>
      <c r="H5" s="2">
        <f>F5-G5</f>
        <v/>
      </c>
      <c r="I5" s="2">
        <f>F5/1.1</f>
        <v/>
      </c>
      <c r="J5" s="2">
        <f>F5-I5</f>
        <v/>
      </c>
    </row>
    <row r="6">
      <c r="A6" t="n">
        <v>5</v>
      </c>
      <c r="B6" t="inlineStr">
        <is>
          <t>2026-08-05</t>
        </is>
      </c>
      <c r="C6" t="inlineStr">
        <is>
          <t>26-1108</t>
        </is>
      </c>
      <c r="D6" t="inlineStr">
        <is>
          <t>Голомт банк</t>
        </is>
      </c>
      <c r="E6" s="2">
        <f>COUNTIF(Мөрүүд!C:C,C6)</f>
        <v/>
      </c>
      <c r="F6" s="2">
        <f>SUMIF(Мөрүүд!C:C,C6,Мөрүүд!L:L)</f>
        <v/>
      </c>
      <c r="G6" s="2" t="n">
        <v>42310300</v>
      </c>
      <c r="H6" s="2">
        <f>F6-G6</f>
        <v/>
      </c>
      <c r="I6" s="2">
        <f>F6/1.1</f>
        <v/>
      </c>
      <c r="J6" s="2">
        <f>F6-I6</f>
        <v/>
      </c>
    </row>
    <row r="7">
      <c r="A7" t="n">
        <v>6</v>
      </c>
      <c r="B7" t="inlineStr">
        <is>
          <t>2026-08-10</t>
        </is>
      </c>
      <c r="C7" t="inlineStr">
        <is>
          <t>26-1109</t>
        </is>
      </c>
      <c r="D7" t="inlineStr">
        <is>
          <t>Голомт банк</t>
        </is>
      </c>
      <c r="E7" s="2">
        <f>COUNTIF(Мөрүүд!C:C,C7)</f>
        <v/>
      </c>
      <c r="F7" s="2">
        <f>SUMIF(Мөрүүд!C:C,C7,Мөрүүд!L:L)</f>
        <v/>
      </c>
      <c r="G7" s="2" t="n">
        <v>4840000</v>
      </c>
      <c r="H7" s="2">
        <f>F7-G7</f>
        <v/>
      </c>
      <c r="I7" s="2">
        <f>F7/1.1</f>
        <v/>
      </c>
      <c r="J7" s="2">
        <f>F7-I7</f>
        <v/>
      </c>
    </row>
    <row r="8">
      <c r="A8" t="n">
        <v>7</v>
      </c>
      <c r="B8" t="inlineStr">
        <is>
          <t>2026-08-10</t>
        </is>
      </c>
      <c r="C8" t="inlineStr">
        <is>
          <t>26-1110</t>
        </is>
      </c>
      <c r="D8" t="inlineStr">
        <is>
          <t>Голомт банк</t>
        </is>
      </c>
      <c r="E8" s="2">
        <f>COUNTIF(Мөрүүд!C:C,C8)</f>
        <v/>
      </c>
      <c r="F8" s="2">
        <f>SUMIF(Мөрүүд!C:C,C8,Мөрүүд!L:L)</f>
        <v/>
      </c>
      <c r="G8" s="2" t="n">
        <v>594000</v>
      </c>
      <c r="H8" s="2">
        <f>F8-G8</f>
        <v/>
      </c>
      <c r="I8" s="2">
        <f>F8/1.1</f>
        <v/>
      </c>
      <c r="J8" s="2">
        <f>F8-I8</f>
        <v/>
      </c>
    </row>
    <row r="9">
      <c r="A9" t="n">
        <v>8</v>
      </c>
      <c r="B9" t="inlineStr">
        <is>
          <t>2026-08-25</t>
        </is>
      </c>
      <c r="C9" t="inlineStr">
        <is>
          <t>26-1118</t>
        </is>
      </c>
      <c r="D9" t="inlineStr">
        <is>
          <t>Голомт банк</t>
        </is>
      </c>
      <c r="E9" s="2">
        <f>COUNTIF(Мөрүүд!C:C,C9)</f>
        <v/>
      </c>
      <c r="F9" s="2">
        <f>SUMIF(Мөрүүд!C:C,C9,Мөрүүд!L:L)</f>
        <v/>
      </c>
      <c r="G9" s="2" t="n">
        <v>451000</v>
      </c>
      <c r="H9" s="2">
        <f>F9-G9</f>
        <v/>
      </c>
      <c r="I9" s="2">
        <f>F9/1.1</f>
        <v/>
      </c>
      <c r="J9" s="2">
        <f>F9-I9</f>
        <v/>
      </c>
    </row>
    <row r="10">
      <c r="A10" t="n">
        <v>9</v>
      </c>
      <c r="B10" t="inlineStr">
        <is>
          <t>2026-09-01</t>
        </is>
      </c>
      <c r="C10" t="inlineStr">
        <is>
          <t>26-1122</t>
        </is>
      </c>
      <c r="D10" t="inlineStr">
        <is>
          <t>М банк</t>
        </is>
      </c>
      <c r="E10" s="2">
        <f>COUNTIF(Мөрүүд!C:C,C10)</f>
        <v/>
      </c>
      <c r="F10" s="2">
        <f>SUMIF(Мөрүүд!C:C,C10,Мөрүүд!L:L)</f>
        <v/>
      </c>
      <c r="G10" s="2" t="n">
        <v>5681500</v>
      </c>
      <c r="H10" s="2">
        <f>F10-G10</f>
        <v/>
      </c>
      <c r="I10" s="2">
        <f>F10/1.1</f>
        <v/>
      </c>
      <c r="J10" s="2">
        <f>F10-I10</f>
        <v/>
      </c>
    </row>
    <row r="11">
      <c r="A11" t="n">
        <v>10</v>
      </c>
      <c r="B11" t="inlineStr">
        <is>
          <t>2026-09-02</t>
        </is>
      </c>
      <c r="C11" t="inlineStr">
        <is>
          <t>26-1123</t>
        </is>
      </c>
      <c r="D11" t="inlineStr">
        <is>
          <t>М банк</t>
        </is>
      </c>
      <c r="E11" s="2">
        <f>COUNTIF(Мөрүүд!C:C,C11)</f>
        <v/>
      </c>
      <c r="F11" s="2">
        <f>SUMIF(Мөрүүд!C:C,C11,Мөрүүд!L:L)</f>
        <v/>
      </c>
      <c r="G11" s="2" t="n">
        <v>6875000</v>
      </c>
      <c r="H11" s="2">
        <f>F11-G11</f>
        <v/>
      </c>
      <c r="I11" s="2">
        <f>F11/1.1</f>
        <v/>
      </c>
      <c r="J11" s="2">
        <f>F11-I11</f>
        <v/>
      </c>
    </row>
    <row r="12">
      <c r="A12" t="n">
        <v>11</v>
      </c>
      <c r="B12" t="inlineStr">
        <is>
          <t>2026-09-02</t>
        </is>
      </c>
      <c r="C12" t="inlineStr">
        <is>
          <t>26-1124</t>
        </is>
      </c>
      <c r="D12" t="inlineStr">
        <is>
          <t>М банк</t>
        </is>
      </c>
      <c r="E12" s="2">
        <f>COUNTIF(Мөрүүд!C:C,C12)</f>
        <v/>
      </c>
      <c r="F12" s="2">
        <f>SUMIF(Мөрүүд!C:C,C12,Мөрүүд!L:L)</f>
        <v/>
      </c>
      <c r="G12" s="2" t="n">
        <v>1980000</v>
      </c>
      <c r="H12" s="2">
        <f>F12-G12</f>
        <v/>
      </c>
      <c r="I12" s="2">
        <f>F12/1.1</f>
        <v/>
      </c>
      <c r="J12" s="2">
        <f>F12-I12</f>
        <v/>
      </c>
    </row>
    <row r="13">
      <c r="A13" t="n">
        <v>12</v>
      </c>
      <c r="B13" t="inlineStr">
        <is>
          <t>2026-09-02</t>
        </is>
      </c>
      <c r="C13" t="inlineStr">
        <is>
          <t>26-1125</t>
        </is>
      </c>
      <c r="D13" t="inlineStr">
        <is>
          <t>М банк</t>
        </is>
      </c>
      <c r="E13" s="2">
        <f>COUNTIF(Мөрүүд!C:C,C13)</f>
        <v/>
      </c>
      <c r="F13" s="2">
        <f>SUMIF(Мөрүүд!C:C,C13,Мөрүүд!L:L)</f>
        <v/>
      </c>
      <c r="G13" s="2" t="n">
        <v>23950000</v>
      </c>
      <c r="H13" s="2">
        <f>F13-G13</f>
        <v/>
      </c>
      <c r="I13" s="2">
        <f>F13/1.1</f>
        <v/>
      </c>
      <c r="J13" s="2">
        <f>F13-I13</f>
        <v/>
      </c>
    </row>
    <row r="14">
      <c r="A14" t="n">
        <v>13</v>
      </c>
      <c r="B14" t="inlineStr">
        <is>
          <t>2026-09-03</t>
        </is>
      </c>
      <c r="C14" t="inlineStr">
        <is>
          <t>26-1126</t>
        </is>
      </c>
      <c r="D14" t="inlineStr">
        <is>
          <t>М банк</t>
        </is>
      </c>
      <c r="E14" s="2">
        <f>COUNTIF(Мөрүүд!C:C,C14)</f>
        <v/>
      </c>
      <c r="F14" s="2">
        <f>SUMIF(Мөрүүд!C:C,C14,Мөрүүд!L:L)</f>
        <v/>
      </c>
      <c r="G14" s="2" t="n">
        <v>495000</v>
      </c>
      <c r="H14" s="2">
        <f>F14-G14</f>
        <v/>
      </c>
      <c r="I14" s="2">
        <f>F14/1.1</f>
        <v/>
      </c>
      <c r="J14" s="2">
        <f>F14-I14</f>
        <v/>
      </c>
    </row>
    <row r="15">
      <c r="A15" t="n">
        <v>14</v>
      </c>
      <c r="B15" t="inlineStr">
        <is>
          <t>2026-09-08</t>
        </is>
      </c>
      <c r="C15" t="inlineStr">
        <is>
          <t>26-1130</t>
        </is>
      </c>
      <c r="D15" t="inlineStr">
        <is>
          <t>М банк</t>
        </is>
      </c>
      <c r="E15" s="2">
        <f>COUNTIF(Мөрүүд!C:C,C15)</f>
        <v/>
      </c>
      <c r="F15" s="2">
        <f>SUMIF(Мөрүүд!C:C,C15,Мөрүүд!L:L)</f>
        <v/>
      </c>
      <c r="G15" s="2" t="n">
        <v>13200000</v>
      </c>
      <c r="H15" s="2">
        <f>F15-G15</f>
        <v/>
      </c>
      <c r="I15" s="2">
        <f>F15/1.1</f>
        <v/>
      </c>
      <c r="J15" s="2">
        <f>F15-I15</f>
        <v/>
      </c>
    </row>
    <row r="16">
      <c r="A16" s="3" t="inlineStr">
        <is>
          <t>НИЙТ</t>
        </is>
      </c>
      <c r="B16" s="3" t="inlineStr"/>
      <c r="C16" s="3" t="inlineStr"/>
      <c r="D16" s="3" t="inlineStr"/>
      <c r="E16" s="4">
        <f>SUM(E2:E15)</f>
        <v/>
      </c>
      <c r="F16" s="4">
        <f>SUM(F2:F15)</f>
        <v/>
      </c>
      <c r="G16" s="4">
        <f>SUM(G2:G15)</f>
        <v/>
      </c>
      <c r="H16" s="4">
        <f>SUM(H2:H15)</f>
        <v/>
      </c>
      <c r="I16" s="4">
        <f>SUM(I2:I15)</f>
        <v/>
      </c>
      <c r="J16" s="4">
        <f>SUM(J2:J15)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1" customWidth="1" min="3" max="3"/>
    <col width="9" customWidth="1" min="4" max="4"/>
    <col width="22" customWidth="1" min="5" max="5"/>
    <col width="22" customWidth="1" min="6" max="6"/>
    <col width="13" customWidth="1" min="7" max="7"/>
    <col width="48" customWidth="1" min="8" max="8"/>
    <col width="7" customWidth="1" min="9" max="9"/>
    <col width="9" customWidth="1" min="10" max="10"/>
    <col width="13" customWidth="1" min="11" max="11"/>
    <col width="16" customWidth="1" min="12" max="12"/>
    <col width="16" customWidth="1" min="13" max="13"/>
    <col width="14" customWidth="1" min="14" max="14"/>
  </cols>
  <sheetData>
    <row r="1">
      <c r="A1" s="1" t="inlineStr">
        <is>
          <t>Хуудас</t>
        </is>
      </c>
      <c r="B1" s="1" t="inlineStr">
        <is>
          <t>Огноо</t>
        </is>
      </c>
      <c r="C1" s="1" t="inlineStr">
        <is>
          <t>PO дугаар</t>
        </is>
      </c>
      <c r="D1" s="1" t="inlineStr">
        <is>
          <t>Сар</t>
        </is>
      </c>
      <c r="E1" s="1" t="inlineStr">
        <is>
          <t>Харилцагч</t>
        </is>
      </c>
      <c r="F1" s="1" t="inlineStr">
        <is>
          <t>Худалдан авагч</t>
        </is>
      </c>
      <c r="G1" s="1" t="inlineStr">
        <is>
          <t>Банк</t>
        </is>
      </c>
      <c r="H1" s="1" t="inlineStr">
        <is>
          <t>Бараа материал</t>
        </is>
      </c>
      <c r="I1" s="1" t="inlineStr">
        <is>
          <t>Нэгж</t>
        </is>
      </c>
      <c r="J1" s="1" t="inlineStr">
        <is>
          <t>Тоо</t>
        </is>
      </c>
      <c r="K1" s="1" t="inlineStr">
        <is>
          <t>Нэгж үнэ</t>
        </is>
      </c>
      <c r="L1" s="1" t="inlineStr">
        <is>
          <t>Нийт (НӨАТ-тэй)</t>
        </is>
      </c>
      <c r="M1" s="1" t="inlineStr">
        <is>
          <t>НӨАТ-гүй дүн</t>
        </is>
      </c>
      <c r="N1" s="1" t="inlineStr">
        <is>
          <t>НӨАТ 10%</t>
        </is>
      </c>
    </row>
    <row r="2">
      <c r="A2" t="n">
        <v>1</v>
      </c>
      <c r="B2" t="inlineStr">
        <is>
          <t>2026-07-28</t>
        </is>
      </c>
      <c r="C2" t="inlineStr">
        <is>
          <t>26-1102</t>
        </is>
      </c>
      <c r="D2" t="inlineStr">
        <is>
          <t>2026-07</t>
        </is>
      </c>
      <c r="E2" t="inlineStr">
        <is>
          <t>Евро Ази Сервис ХХК</t>
        </is>
      </c>
      <c r="F2" t="inlineStr">
        <is>
          <t>Buuruljuut Power Plant</t>
        </is>
      </c>
      <c r="G2" t="inlineStr">
        <is>
          <t>М банк</t>
        </is>
      </c>
      <c r="H2" t="inlineStr">
        <is>
          <t>N95 маск</t>
        </is>
      </c>
      <c r="I2" t="inlineStr">
        <is>
          <t>ш</t>
        </is>
      </c>
      <c r="J2" s="2" t="n">
        <v>1000</v>
      </c>
      <c r="K2" s="2" t="n">
        <v>990</v>
      </c>
      <c r="L2" s="2">
        <f>J2*K2</f>
        <v/>
      </c>
      <c r="M2" s="2">
        <f>L2/1.1</f>
        <v/>
      </c>
      <c r="N2" s="2">
        <f>L2-M2</f>
        <v/>
      </c>
    </row>
    <row r="3">
      <c r="A3" t="n">
        <v>1</v>
      </c>
      <c r="B3" t="inlineStr">
        <is>
          <t>2026-07-28</t>
        </is>
      </c>
      <c r="C3" t="inlineStr">
        <is>
          <t>26-1102</t>
        </is>
      </c>
      <c r="D3" t="inlineStr">
        <is>
          <t>2026-07</t>
        </is>
      </c>
      <c r="E3" t="inlineStr">
        <is>
          <t>Евро Ази Сервис ХХК</t>
        </is>
      </c>
      <c r="F3" t="inlineStr">
        <is>
          <t>Buuruljuut Power Plant</t>
        </is>
      </c>
      <c r="G3" t="inlineStr">
        <is>
          <t>М банк</t>
        </is>
      </c>
      <c r="H3" t="inlineStr">
        <is>
          <t>1 удаагийн комбинзон</t>
        </is>
      </c>
      <c r="I3" t="inlineStr">
        <is>
          <t>ш</t>
        </is>
      </c>
      <c r="J3" s="2" t="n">
        <v>1500</v>
      </c>
      <c r="K3" s="2" t="n">
        <v>8800</v>
      </c>
      <c r="L3" s="2">
        <f>J3*K3</f>
        <v/>
      </c>
      <c r="M3" s="2">
        <f>L3/1.1</f>
        <v/>
      </c>
      <c r="N3" s="2">
        <f>L3-M3</f>
        <v/>
      </c>
    </row>
    <row r="4">
      <c r="A4" t="n">
        <v>1</v>
      </c>
      <c r="B4" t="inlineStr">
        <is>
          <t>2026-07-28</t>
        </is>
      </c>
      <c r="C4" t="inlineStr">
        <is>
          <t>26-1102</t>
        </is>
      </c>
      <c r="D4" t="inlineStr">
        <is>
          <t>2026-07</t>
        </is>
      </c>
      <c r="E4" t="inlineStr">
        <is>
          <t>Евро Ази Сервис ХХК</t>
        </is>
      </c>
      <c r="F4" t="inlineStr">
        <is>
          <t>Buuruljuut Power Plant</t>
        </is>
      </c>
      <c r="G4" t="inlineStr">
        <is>
          <t>М банк</t>
        </is>
      </c>
      <c r="H4" t="inlineStr">
        <is>
          <t>Алгатай бээлий</t>
        </is>
      </c>
      <c r="I4" t="inlineStr">
        <is>
          <t>ш</t>
        </is>
      </c>
      <c r="J4" s="2" t="n">
        <v>2000</v>
      </c>
      <c r="K4" s="2" t="n">
        <v>1320</v>
      </c>
      <c r="L4" s="2">
        <f>J4*K4</f>
        <v/>
      </c>
      <c r="M4" s="2">
        <f>L4/1.1</f>
        <v/>
      </c>
      <c r="N4" s="2">
        <f>L4-M4</f>
        <v/>
      </c>
    </row>
    <row r="5">
      <c r="A5" t="n">
        <v>2</v>
      </c>
      <c r="B5" t="inlineStr">
        <is>
          <t>2026-07-28</t>
        </is>
      </c>
      <c r="C5" t="inlineStr">
        <is>
          <t>26-1105</t>
        </is>
      </c>
      <c r="D5" t="inlineStr">
        <is>
          <t>2026-07</t>
        </is>
      </c>
      <c r="E5" t="inlineStr">
        <is>
          <t>Евро Ази Сервис ХХК</t>
        </is>
      </c>
      <c r="F5" t="inlineStr">
        <is>
          <t>Buuruljuut Power Plant</t>
        </is>
      </c>
      <c r="G5" t="inlineStr">
        <is>
          <t>М банк</t>
        </is>
      </c>
      <c r="H5" t="inlineStr">
        <is>
          <t>Гагнуурын хувцас илгэн материалтай өмд цамц</t>
        </is>
      </c>
      <c r="I5" t="inlineStr">
        <is>
          <t>ш</t>
        </is>
      </c>
      <c r="J5" s="2" t="n">
        <v>3</v>
      </c>
      <c r="K5" s="2" t="n">
        <v>198000</v>
      </c>
      <c r="L5" s="2">
        <f>J5*K5</f>
        <v/>
      </c>
      <c r="M5" s="2">
        <f>L5/1.1</f>
        <v/>
      </c>
      <c r="N5" s="2">
        <f>L5-M5</f>
        <v/>
      </c>
    </row>
    <row r="6">
      <c r="A6" t="n">
        <v>2</v>
      </c>
      <c r="B6" t="inlineStr">
        <is>
          <t>2026-07-28</t>
        </is>
      </c>
      <c r="C6" t="inlineStr">
        <is>
          <t>26-1105</t>
        </is>
      </c>
      <c r="D6" t="inlineStr">
        <is>
          <t>2026-07</t>
        </is>
      </c>
      <c r="E6" t="inlineStr">
        <is>
          <t>Евро Ази Сервис ХХК</t>
        </is>
      </c>
      <c r="F6" t="inlineStr">
        <is>
          <t>Buuruljuut Power Plant</t>
        </is>
      </c>
      <c r="G6" t="inlineStr">
        <is>
          <t>М банк</t>
        </is>
      </c>
      <c r="H6" t="inlineStr">
        <is>
          <t>Гагнуурын бээлий илгэн материалтай урт Honeywell</t>
        </is>
      </c>
      <c r="I6" t="inlineStr">
        <is>
          <t>ш</t>
        </is>
      </c>
      <c r="J6" s="2" t="n">
        <v>10</v>
      </c>
      <c r="K6" s="2" t="n">
        <v>27500</v>
      </c>
      <c r="L6" s="2">
        <f>J6*K6</f>
        <v/>
      </c>
      <c r="M6" s="2">
        <f>L6/1.1</f>
        <v/>
      </c>
      <c r="N6" s="2">
        <f>L6-M6</f>
        <v/>
      </c>
    </row>
    <row r="7">
      <c r="A7" t="n">
        <v>2</v>
      </c>
      <c r="B7" t="inlineStr">
        <is>
          <t>2026-07-28</t>
        </is>
      </c>
      <c r="C7" t="inlineStr">
        <is>
          <t>26-1105</t>
        </is>
      </c>
      <c r="D7" t="inlineStr">
        <is>
          <t>2026-07</t>
        </is>
      </c>
      <c r="E7" t="inlineStr">
        <is>
          <t>Евро Ази Сервис ХХК</t>
        </is>
      </c>
      <c r="F7" t="inlineStr">
        <is>
          <t>Buuruljuut Power Plant</t>
        </is>
      </c>
      <c r="G7" t="inlineStr">
        <is>
          <t>М банк</t>
        </is>
      </c>
      <c r="H7" t="inlineStr">
        <is>
          <t>Гагнуурын бээлий арьсан материалтай нимгэн богино Kamelo</t>
        </is>
      </c>
      <c r="I7" t="inlineStr">
        <is>
          <t>ш</t>
        </is>
      </c>
      <c r="J7" s="2" t="n">
        <v>10</v>
      </c>
      <c r="K7" s="2" t="n">
        <v>29700</v>
      </c>
      <c r="L7" s="2">
        <f>J7*K7</f>
        <v/>
      </c>
      <c r="M7" s="2">
        <f>L7/1.1</f>
        <v/>
      </c>
      <c r="N7" s="2">
        <f>L7-M7</f>
        <v/>
      </c>
    </row>
    <row r="8">
      <c r="A8" t="n">
        <v>2</v>
      </c>
      <c r="B8" t="inlineStr">
        <is>
          <t>2026-07-28</t>
        </is>
      </c>
      <c r="C8" t="inlineStr">
        <is>
          <t>26-1105</t>
        </is>
      </c>
      <c r="D8" t="inlineStr">
        <is>
          <t>2026-07</t>
        </is>
      </c>
      <c r="E8" t="inlineStr">
        <is>
          <t>Евро Ази Сервис ХХК</t>
        </is>
      </c>
      <c r="F8" t="inlineStr">
        <is>
          <t>Buuruljuut Power Plant</t>
        </is>
      </c>
      <c r="G8" t="inlineStr">
        <is>
          <t>М банк</t>
        </is>
      </c>
      <c r="H8" t="inlineStr">
        <is>
          <t>Гагнуурын хормогч илгэн материалтай</t>
        </is>
      </c>
      <c r="I8" t="inlineStr">
        <is>
          <t>ш</t>
        </is>
      </c>
      <c r="J8" s="2" t="n">
        <v>10</v>
      </c>
      <c r="K8" s="2" t="n">
        <v>38500</v>
      </c>
      <c r="L8" s="2">
        <f>J8*K8</f>
        <v/>
      </c>
      <c r="M8" s="2">
        <f>L8/1.1</f>
        <v/>
      </c>
      <c r="N8" s="2">
        <f>L8-M8</f>
        <v/>
      </c>
    </row>
    <row r="9">
      <c r="A9" t="n">
        <v>2</v>
      </c>
      <c r="B9" t="inlineStr">
        <is>
          <t>2026-07-28</t>
        </is>
      </c>
      <c r="C9" t="inlineStr">
        <is>
          <t>26-1105</t>
        </is>
      </c>
      <c r="D9" t="inlineStr">
        <is>
          <t>2026-07</t>
        </is>
      </c>
      <c r="E9" t="inlineStr">
        <is>
          <t>Евро Ази Сервис ХХК</t>
        </is>
      </c>
      <c r="F9" t="inlineStr">
        <is>
          <t>Buuruljuut Power Plant</t>
        </is>
      </c>
      <c r="G9" t="inlineStr">
        <is>
          <t>М банк</t>
        </is>
      </c>
      <c r="H9" t="inlineStr">
        <is>
          <t>Хамелион багны дотор шил 3M Speedglas 100</t>
        </is>
      </c>
      <c r="I9" t="inlineStr">
        <is>
          <t>ш</t>
        </is>
      </c>
      <c r="J9" s="2" t="n">
        <v>10</v>
      </c>
      <c r="K9" s="2" t="n">
        <v>605000</v>
      </c>
      <c r="L9" s="2">
        <f>J9*K9</f>
        <v/>
      </c>
      <c r="M9" s="2">
        <f>L9/1.1</f>
        <v/>
      </c>
      <c r="N9" s="2">
        <f>L9-M9</f>
        <v/>
      </c>
    </row>
    <row r="10">
      <c r="A10" t="n">
        <v>2</v>
      </c>
      <c r="B10" t="inlineStr">
        <is>
          <t>2026-07-28</t>
        </is>
      </c>
      <c r="C10" t="inlineStr">
        <is>
          <t>26-1105</t>
        </is>
      </c>
      <c r="D10" t="inlineStr">
        <is>
          <t>2026-07</t>
        </is>
      </c>
      <c r="E10" t="inlineStr">
        <is>
          <t>Евро Ази Сервис ХХК</t>
        </is>
      </c>
      <c r="F10" t="inlineStr">
        <is>
          <t>Buuruljuut Power Plant</t>
        </is>
      </c>
      <c r="G10" t="inlineStr">
        <is>
          <t>М банк</t>
        </is>
      </c>
      <c r="H10" t="inlineStr">
        <is>
          <t>Гагнуурын багны гадна шил / цагаан</t>
        </is>
      </c>
      <c r="I10" t="inlineStr">
        <is>
          <t>ш</t>
        </is>
      </c>
      <c r="J10" s="2" t="n">
        <v>10</v>
      </c>
      <c r="K10" s="2" t="n">
        <v>13200</v>
      </c>
      <c r="L10" s="2">
        <f>J10*K10</f>
        <v/>
      </c>
      <c r="M10" s="2">
        <f>L10/1.1</f>
        <v/>
      </c>
      <c r="N10" s="2">
        <f>L10-M10</f>
        <v/>
      </c>
    </row>
    <row r="11">
      <c r="A11" t="n">
        <v>3</v>
      </c>
      <c r="B11" t="inlineStr">
        <is>
          <t>2026-08-04</t>
        </is>
      </c>
      <c r="C11" t="inlineStr">
        <is>
          <t>26-1106</t>
        </is>
      </c>
      <c r="D11" t="inlineStr">
        <is>
          <t>2026-08</t>
        </is>
      </c>
      <c r="E11" t="inlineStr">
        <is>
          <t>Евро Ази Сервис ХХК</t>
        </is>
      </c>
      <c r="F11" t="inlineStr">
        <is>
          <t>Buuruljuut Power Plant</t>
        </is>
      </c>
      <c r="G11" t="inlineStr">
        <is>
          <t>М банк</t>
        </is>
      </c>
      <c r="H11" t="inlineStr">
        <is>
          <t>Комбинзон (угаадаг)</t>
        </is>
      </c>
      <c r="I11" t="inlineStr">
        <is>
          <t>ш</t>
        </is>
      </c>
      <c r="J11" s="2" t="n">
        <v>300</v>
      </c>
      <c r="K11" s="2" t="n">
        <v>38500</v>
      </c>
      <c r="L11" s="2">
        <f>J11*K11</f>
        <v/>
      </c>
      <c r="M11" s="2">
        <f>L11/1.1</f>
        <v/>
      </c>
      <c r="N11" s="2">
        <f>L11-M11</f>
        <v/>
      </c>
    </row>
    <row r="12">
      <c r="A12" t="n">
        <v>3</v>
      </c>
      <c r="B12" t="inlineStr">
        <is>
          <t>2026-08-04</t>
        </is>
      </c>
      <c r="C12" t="inlineStr">
        <is>
          <t>26-1106</t>
        </is>
      </c>
      <c r="D12" t="inlineStr">
        <is>
          <t>2026-08</t>
        </is>
      </c>
      <c r="E12" t="inlineStr">
        <is>
          <t>Евро Ази Сервис ХХК</t>
        </is>
      </c>
      <c r="F12" t="inlineStr">
        <is>
          <t>Buuruljuut Power Plant</t>
        </is>
      </c>
      <c r="G12" t="inlineStr">
        <is>
          <t>М банк</t>
        </is>
      </c>
      <c r="H12" t="inlineStr">
        <is>
          <t>1 удаагийн комбинзон</t>
        </is>
      </c>
      <c r="I12" t="inlineStr">
        <is>
          <t>ш</t>
        </is>
      </c>
      <c r="J12" s="2" t="n">
        <v>900</v>
      </c>
      <c r="K12" s="2" t="n">
        <v>8800</v>
      </c>
      <c r="L12" s="2">
        <f>J12*K12</f>
        <v/>
      </c>
      <c r="M12" s="2">
        <f>L12/1.1</f>
        <v/>
      </c>
      <c r="N12" s="2">
        <f>L12-M12</f>
        <v/>
      </c>
    </row>
    <row r="13">
      <c r="A13" t="n">
        <v>4</v>
      </c>
      <c r="B13" t="inlineStr">
        <is>
          <t>2026-08-05</t>
        </is>
      </c>
      <c r="C13" t="inlineStr">
        <is>
          <t>26-1107</t>
        </is>
      </c>
      <c r="D13" t="inlineStr">
        <is>
          <t>2026-08</t>
        </is>
      </c>
      <c r="E13" t="inlineStr">
        <is>
          <t>Евро Ази Сервис ХХК</t>
        </is>
      </c>
      <c r="F13" t="inlineStr">
        <is>
          <t>Buuruljuut Power Plant</t>
        </is>
      </c>
      <c r="G13" t="inlineStr">
        <is>
          <t>М банк</t>
        </is>
      </c>
      <c r="H13" t="inlineStr">
        <is>
          <t>3M 9502+ FFP2 Mask</t>
        </is>
      </c>
      <c r="I13" t="inlineStr">
        <is>
          <t>ш</t>
        </is>
      </c>
      <c r="J13" s="2" t="n">
        <v>500</v>
      </c>
      <c r="K13" s="2" t="n">
        <v>1980</v>
      </c>
      <c r="L13" s="2">
        <f>J13*K13</f>
        <v/>
      </c>
      <c r="M13" s="2">
        <f>L13/1.1</f>
        <v/>
      </c>
      <c r="N13" s="2">
        <f>L13-M13</f>
        <v/>
      </c>
    </row>
    <row r="14">
      <c r="A14" t="n">
        <v>4</v>
      </c>
      <c r="B14" t="inlineStr">
        <is>
          <t>2026-08-05</t>
        </is>
      </c>
      <c r="C14" t="inlineStr">
        <is>
          <t>26-1107</t>
        </is>
      </c>
      <c r="D14" t="inlineStr">
        <is>
          <t>2026-08</t>
        </is>
      </c>
      <c r="E14" t="inlineStr">
        <is>
          <t>Евро Ази Сервис ХХК</t>
        </is>
      </c>
      <c r="F14" t="inlineStr">
        <is>
          <t>Buuruljuut Power Plant</t>
        </is>
      </c>
      <c r="G14" t="inlineStr">
        <is>
          <t>М банк</t>
        </is>
      </c>
      <c r="H14" t="inlineStr">
        <is>
          <t>Бээлий /Цагаан</t>
        </is>
      </c>
      <c r="I14" t="inlineStr">
        <is>
          <t>ш</t>
        </is>
      </c>
      <c r="J14" s="2" t="n">
        <v>5000</v>
      </c>
      <c r="K14" s="2" t="n">
        <v>770</v>
      </c>
      <c r="L14" s="2">
        <f>J14*K14</f>
        <v/>
      </c>
      <c r="M14" s="2">
        <f>L14/1.1</f>
        <v/>
      </c>
      <c r="N14" s="2">
        <f>L14-M14</f>
        <v/>
      </c>
    </row>
    <row r="15">
      <c r="A15" t="n">
        <v>4</v>
      </c>
      <c r="B15" t="inlineStr">
        <is>
          <t>2026-08-05</t>
        </is>
      </c>
      <c r="C15" t="inlineStr">
        <is>
          <t>26-1107</t>
        </is>
      </c>
      <c r="D15" t="inlineStr">
        <is>
          <t>2026-08</t>
        </is>
      </c>
      <c r="E15" t="inlineStr">
        <is>
          <t>Евро Ази Сервис ХХК</t>
        </is>
      </c>
      <c r="F15" t="inlineStr">
        <is>
          <t>Buuruljuut Power Plant</t>
        </is>
      </c>
      <c r="G15" t="inlineStr">
        <is>
          <t>М банк</t>
        </is>
      </c>
      <c r="H15" t="inlineStr">
        <is>
          <t>Тогтоогууртай нүд угаагч</t>
        </is>
      </c>
      <c r="I15" t="inlineStr">
        <is>
          <t>ш</t>
        </is>
      </c>
      <c r="J15" s="2" t="n">
        <v>5</v>
      </c>
      <c r="K15" s="2" t="n">
        <v>121000</v>
      </c>
      <c r="L15" s="2">
        <f>J15*K15</f>
        <v/>
      </c>
      <c r="M15" s="2">
        <f>L15/1.1</f>
        <v/>
      </c>
      <c r="N15" s="2">
        <f>L15-M15</f>
        <v/>
      </c>
    </row>
    <row r="16">
      <c r="A16" t="n">
        <v>4</v>
      </c>
      <c r="B16" t="inlineStr">
        <is>
          <t>2026-08-05</t>
        </is>
      </c>
      <c r="C16" t="inlineStr">
        <is>
          <t>26-1107</t>
        </is>
      </c>
      <c r="D16" t="inlineStr">
        <is>
          <t>2026-08</t>
        </is>
      </c>
      <c r="E16" t="inlineStr">
        <is>
          <t>Евро Ази Сервис ХХК</t>
        </is>
      </c>
      <c r="F16" t="inlineStr">
        <is>
          <t>Buuruljuut Power Plant</t>
        </is>
      </c>
      <c r="G16" t="inlineStr">
        <is>
          <t>М банк</t>
        </is>
      </c>
      <c r="H16" t="inlineStr">
        <is>
          <t>Борооны цув</t>
        </is>
      </c>
      <c r="I16" t="inlineStr">
        <is>
          <t>ш</t>
        </is>
      </c>
      <c r="J16" s="2" t="n">
        <v>30</v>
      </c>
      <c r="K16" s="2" t="n">
        <v>49500</v>
      </c>
      <c r="L16" s="2">
        <f>J16*K16</f>
        <v/>
      </c>
      <c r="M16" s="2">
        <f>L16/1.1</f>
        <v/>
      </c>
      <c r="N16" s="2">
        <f>L16-M16</f>
        <v/>
      </c>
    </row>
    <row r="17">
      <c r="A17" t="n">
        <v>4</v>
      </c>
      <c r="B17" t="inlineStr">
        <is>
          <t>2026-08-05</t>
        </is>
      </c>
      <c r="C17" t="inlineStr">
        <is>
          <t>26-1107</t>
        </is>
      </c>
      <c r="D17" t="inlineStr">
        <is>
          <t>2026-08</t>
        </is>
      </c>
      <c r="E17" t="inlineStr">
        <is>
          <t>Евро Ази Сервис ХХК</t>
        </is>
      </c>
      <c r="F17" t="inlineStr">
        <is>
          <t>Buuruljuut Power Plant</t>
        </is>
      </c>
      <c r="G17" t="inlineStr">
        <is>
          <t>М банк</t>
        </is>
      </c>
      <c r="H17" t="inlineStr">
        <is>
          <t>Усны гутал</t>
        </is>
      </c>
      <c r="I17" t="inlineStr">
        <is>
          <t>ш</t>
        </is>
      </c>
      <c r="J17" s="2" t="n">
        <v>30</v>
      </c>
      <c r="K17" s="2" t="n">
        <v>132000</v>
      </c>
      <c r="L17" s="2">
        <f>J17*K17</f>
        <v/>
      </c>
      <c r="M17" s="2">
        <f>L17/1.1</f>
        <v/>
      </c>
      <c r="N17" s="2">
        <f>L17-M17</f>
        <v/>
      </c>
    </row>
    <row r="18">
      <c r="A18" t="n">
        <v>5</v>
      </c>
      <c r="B18" t="inlineStr">
        <is>
          <t>2026-08-05</t>
        </is>
      </c>
      <c r="C18" t="inlineStr">
        <is>
          <t>26-1108</t>
        </is>
      </c>
      <c r="D18" t="inlineStr">
        <is>
          <t>2026-08</t>
        </is>
      </c>
      <c r="E18" t="inlineStr">
        <is>
          <t>Евро Ази Сервис ХХК</t>
        </is>
      </c>
      <c r="F18" t="inlineStr">
        <is>
          <t>Buuruljuut Power Plant</t>
        </is>
      </c>
      <c r="G18" t="inlineStr">
        <is>
          <t>Голомт банк</t>
        </is>
      </c>
      <c r="H18" t="inlineStr">
        <is>
          <t>Худалдан авах, худалдах гэрээний үлдэгдэл төлбөр</t>
        </is>
      </c>
      <c r="I18" t="inlineStr"/>
      <c r="J18" s="2" t="n">
        <v>1</v>
      </c>
      <c r="K18" s="2" t="n">
        <v>42310300</v>
      </c>
      <c r="L18" s="2">
        <f>J18*K18</f>
        <v/>
      </c>
      <c r="M18" s="2">
        <f>L18/1.1</f>
        <v/>
      </c>
      <c r="N18" s="2">
        <f>L18-M18</f>
        <v/>
      </c>
    </row>
    <row r="19">
      <c r="A19" t="n">
        <v>6</v>
      </c>
      <c r="B19" t="inlineStr">
        <is>
          <t>2026-08-10</t>
        </is>
      </c>
      <c r="C19" t="inlineStr">
        <is>
          <t>26-1109</t>
        </is>
      </c>
      <c r="D19" t="inlineStr">
        <is>
          <t>2026-08</t>
        </is>
      </c>
      <c r="E19" t="inlineStr">
        <is>
          <t>Евро Ази Сервис ХХК</t>
        </is>
      </c>
      <c r="F19" t="inlineStr">
        <is>
          <t>Buuruljuut Power Plant</t>
        </is>
      </c>
      <c r="G19" t="inlineStr">
        <is>
          <t>Голомт банк</t>
        </is>
      </c>
      <c r="H19" t="inlineStr">
        <is>
          <t>Асгаралтын иж бүрдэл 120л</t>
        </is>
      </c>
      <c r="I19" t="inlineStr">
        <is>
          <t>ш</t>
        </is>
      </c>
      <c r="J19" s="2" t="n">
        <v>2</v>
      </c>
      <c r="K19" s="2" t="n">
        <v>770000</v>
      </c>
      <c r="L19" s="2">
        <f>J19*K19</f>
        <v/>
      </c>
      <c r="M19" s="2">
        <f>L19/1.1</f>
        <v/>
      </c>
      <c r="N19" s="2">
        <f>L19-M19</f>
        <v/>
      </c>
    </row>
    <row r="20">
      <c r="A20" t="n">
        <v>6</v>
      </c>
      <c r="B20" t="inlineStr">
        <is>
          <t>2026-08-10</t>
        </is>
      </c>
      <c r="C20" t="inlineStr">
        <is>
          <t>26-1109</t>
        </is>
      </c>
      <c r="D20" t="inlineStr">
        <is>
          <t>2026-08</t>
        </is>
      </c>
      <c r="E20" t="inlineStr">
        <is>
          <t>Евро Ази Сервис ХХК</t>
        </is>
      </c>
      <c r="F20" t="inlineStr">
        <is>
          <t>Buuruljuut Power Plant</t>
        </is>
      </c>
      <c r="G20" t="inlineStr">
        <is>
          <t>Голомт банк</t>
        </is>
      </c>
      <c r="H20" t="inlineStr">
        <is>
          <t>Галын сарай их бүрдэл</t>
        </is>
      </c>
      <c r="I20" t="inlineStr">
        <is>
          <t>ш</t>
        </is>
      </c>
      <c r="J20" s="2" t="n">
        <v>2</v>
      </c>
      <c r="K20" s="2" t="n">
        <v>1650000</v>
      </c>
      <c r="L20" s="2">
        <f>J20*K20</f>
        <v/>
      </c>
      <c r="M20" s="2">
        <f>L20/1.1</f>
        <v/>
      </c>
      <c r="N20" s="2">
        <f>L20-M20</f>
        <v/>
      </c>
    </row>
    <row r="21">
      <c r="A21" t="n">
        <v>7</v>
      </c>
      <c r="B21" t="inlineStr">
        <is>
          <t>2026-08-10</t>
        </is>
      </c>
      <c r="C21" t="inlineStr">
        <is>
          <t>26-1110</t>
        </is>
      </c>
      <c r="D21" t="inlineStr">
        <is>
          <t>2026-08</t>
        </is>
      </c>
      <c r="E21" t="inlineStr">
        <is>
          <t>Евро Ази Сервис ХХК</t>
        </is>
      </c>
      <c r="F21" t="inlineStr">
        <is>
          <t>Buuruljuut Power Plant</t>
        </is>
      </c>
      <c r="G21" t="inlineStr">
        <is>
          <t>Голомт банк</t>
        </is>
      </c>
      <c r="H21" t="inlineStr">
        <is>
          <t>Борооны цув</t>
        </is>
      </c>
      <c r="I21" t="inlineStr">
        <is>
          <t>ш</t>
        </is>
      </c>
      <c r="J21" s="2" t="n">
        <v>12</v>
      </c>
      <c r="K21" s="2" t="n">
        <v>49500</v>
      </c>
      <c r="L21" s="2">
        <f>J21*K21</f>
        <v/>
      </c>
      <c r="M21" s="2">
        <f>L21/1.1</f>
        <v/>
      </c>
      <c r="N21" s="2">
        <f>L21-M21</f>
        <v/>
      </c>
    </row>
    <row r="22">
      <c r="A22" t="n">
        <v>8</v>
      </c>
      <c r="B22" t="inlineStr">
        <is>
          <t>2026-08-25</t>
        </is>
      </c>
      <c r="C22" t="inlineStr">
        <is>
          <t>26-1118</t>
        </is>
      </c>
      <c r="D22" t="inlineStr">
        <is>
          <t>2026-08</t>
        </is>
      </c>
      <c r="E22" t="inlineStr">
        <is>
          <t>Евро Ази Сервис ХХК</t>
        </is>
      </c>
      <c r="F22" t="inlineStr">
        <is>
          <t>Buuruljuut Power Plant</t>
        </is>
      </c>
      <c r="G22" t="inlineStr">
        <is>
          <t>Голомт банк</t>
        </is>
      </c>
      <c r="H22" t="inlineStr">
        <is>
          <t>Нэг удаагийн малгай</t>
        </is>
      </c>
      <c r="I22" t="inlineStr">
        <is>
          <t>ш</t>
        </is>
      </c>
      <c r="J22" s="2" t="n">
        <v>3</v>
      </c>
      <c r="K22" s="2" t="n">
        <v>22000</v>
      </c>
      <c r="L22" s="2">
        <f>J22*K22</f>
        <v/>
      </c>
      <c r="M22" s="2">
        <f>L22/1.1</f>
        <v/>
      </c>
      <c r="N22" s="2">
        <f>L22-M22</f>
        <v/>
      </c>
    </row>
    <row r="23">
      <c r="A23" t="n">
        <v>8</v>
      </c>
      <c r="B23" t="inlineStr">
        <is>
          <t>2026-08-25</t>
        </is>
      </c>
      <c r="C23" t="inlineStr">
        <is>
          <t>26-1118</t>
        </is>
      </c>
      <c r="D23" t="inlineStr">
        <is>
          <t>2026-08</t>
        </is>
      </c>
      <c r="E23" t="inlineStr">
        <is>
          <t>Евро Ази Сервис ХХК</t>
        </is>
      </c>
      <c r="F23" t="inlineStr">
        <is>
          <t>Buuruljuut Power Plant</t>
        </is>
      </c>
      <c r="G23" t="inlineStr">
        <is>
          <t>Голомт банк</t>
        </is>
      </c>
      <c r="H23" t="inlineStr">
        <is>
          <t>Духны гэрэл</t>
        </is>
      </c>
      <c r="I23" t="inlineStr">
        <is>
          <t>ш</t>
        </is>
      </c>
      <c r="J23" s="2" t="n">
        <v>10</v>
      </c>
      <c r="K23" s="2" t="n">
        <v>38500</v>
      </c>
      <c r="L23" s="2">
        <f>J23*K23</f>
        <v/>
      </c>
      <c r="M23" s="2">
        <f>L23/1.1</f>
        <v/>
      </c>
      <c r="N23" s="2">
        <f>L23-M23</f>
        <v/>
      </c>
    </row>
    <row r="24">
      <c r="A24" t="n">
        <v>9</v>
      </c>
      <c r="B24" t="inlineStr">
        <is>
          <t>2026-09-01</t>
        </is>
      </c>
      <c r="C24" t="inlineStr">
        <is>
          <t>26-1122</t>
        </is>
      </c>
      <c r="D24" t="inlineStr">
        <is>
          <t>2026-09</t>
        </is>
      </c>
      <c r="E24" t="inlineStr">
        <is>
          <t>Евро Ази Сервис ХХК</t>
        </is>
      </c>
      <c r="F24" t="inlineStr">
        <is>
          <t>Buuruljuut Power Plant</t>
        </is>
      </c>
      <c r="G24" t="inlineStr">
        <is>
          <t>М банк</t>
        </is>
      </c>
      <c r="H24" t="inlineStr">
        <is>
          <t>Гал унтраагуур цэнэглэлт 35кг</t>
        </is>
      </c>
      <c r="I24" t="inlineStr">
        <is>
          <t>ш</t>
        </is>
      </c>
      <c r="J24" s="2" t="n">
        <v>20</v>
      </c>
      <c r="K24" s="2" t="n">
        <v>192500</v>
      </c>
      <c r="L24" s="2">
        <f>J24*K24</f>
        <v/>
      </c>
      <c r="M24" s="2">
        <f>L24/1.1</f>
        <v/>
      </c>
      <c r="N24" s="2">
        <f>L24-M24</f>
        <v/>
      </c>
    </row>
    <row r="25">
      <c r="A25" t="n">
        <v>9</v>
      </c>
      <c r="B25" t="inlineStr">
        <is>
          <t>2026-09-01</t>
        </is>
      </c>
      <c r="C25" t="inlineStr">
        <is>
          <t>26-1122</t>
        </is>
      </c>
      <c r="D25" t="inlineStr">
        <is>
          <t>2026-09</t>
        </is>
      </c>
      <c r="E25" t="inlineStr">
        <is>
          <t>Евро Ази Сервис ХХК</t>
        </is>
      </c>
      <c r="F25" t="inlineStr">
        <is>
          <t>Buuruljuut Power Plant</t>
        </is>
      </c>
      <c r="G25" t="inlineStr">
        <is>
          <t>М банк</t>
        </is>
      </c>
      <c r="H25" t="inlineStr">
        <is>
          <t>Гал унтраагуур цэнэглэлт 9кг</t>
        </is>
      </c>
      <c r="I25" t="inlineStr">
        <is>
          <t>ш</t>
        </is>
      </c>
      <c r="J25" s="2" t="n">
        <v>25</v>
      </c>
      <c r="K25" s="2" t="n">
        <v>49500</v>
      </c>
      <c r="L25" s="2">
        <f>J25*K25</f>
        <v/>
      </c>
      <c r="M25" s="2">
        <f>L25/1.1</f>
        <v/>
      </c>
      <c r="N25" s="2">
        <f>L25-M25</f>
        <v/>
      </c>
    </row>
    <row r="26">
      <c r="A26" t="n">
        <v>9</v>
      </c>
      <c r="B26" t="inlineStr">
        <is>
          <t>2026-09-01</t>
        </is>
      </c>
      <c r="C26" t="inlineStr">
        <is>
          <t>26-1122</t>
        </is>
      </c>
      <c r="D26" t="inlineStr">
        <is>
          <t>2026-09</t>
        </is>
      </c>
      <c r="E26" t="inlineStr">
        <is>
          <t>Евро Ази Сервис ХХК</t>
        </is>
      </c>
      <c r="F26" t="inlineStr">
        <is>
          <t>Buuruljuut Power Plant</t>
        </is>
      </c>
      <c r="G26" t="inlineStr">
        <is>
          <t>М банк</t>
        </is>
      </c>
      <c r="H26" t="inlineStr">
        <is>
          <t>Гал унтраагуур цэнэглэлт 6кг</t>
        </is>
      </c>
      <c r="I26" t="inlineStr">
        <is>
          <t>ш</t>
        </is>
      </c>
      <c r="J26" s="2" t="n">
        <v>12</v>
      </c>
      <c r="K26" s="2" t="n">
        <v>33000</v>
      </c>
      <c r="L26" s="2">
        <f>J26*K26</f>
        <v/>
      </c>
      <c r="M26" s="2">
        <f>L26/1.1</f>
        <v/>
      </c>
      <c r="N26" s="2">
        <f>L26-M26</f>
        <v/>
      </c>
    </row>
    <row r="27">
      <c r="A27" t="n">
        <v>9</v>
      </c>
      <c r="B27" t="inlineStr">
        <is>
          <t>2026-09-01</t>
        </is>
      </c>
      <c r="C27" t="inlineStr">
        <is>
          <t>26-1122</t>
        </is>
      </c>
      <c r="D27" t="inlineStr">
        <is>
          <t>2026-09</t>
        </is>
      </c>
      <c r="E27" t="inlineStr">
        <is>
          <t>Евро Ази Сервис ХХК</t>
        </is>
      </c>
      <c r="F27" t="inlineStr">
        <is>
          <t>Buuruljuut Power Plant</t>
        </is>
      </c>
      <c r="G27" t="inlineStr">
        <is>
          <t>М банк</t>
        </is>
      </c>
      <c r="H27" t="inlineStr">
        <is>
          <t>Гал унтраагуур цэнэглэлт 4кг</t>
        </is>
      </c>
      <c r="I27" t="inlineStr">
        <is>
          <t>ш</t>
        </is>
      </c>
      <c r="J27" s="2" t="n">
        <v>9</v>
      </c>
      <c r="K27" s="2" t="n">
        <v>22000</v>
      </c>
      <c r="L27" s="2">
        <f>J27*K27</f>
        <v/>
      </c>
      <c r="M27" s="2">
        <f>L27/1.1</f>
        <v/>
      </c>
      <c r="N27" s="2">
        <f>L27-M27</f>
        <v/>
      </c>
    </row>
    <row r="28">
      <c r="A28" t="n">
        <v>10</v>
      </c>
      <c r="B28" t="inlineStr">
        <is>
          <t>2026-09-02</t>
        </is>
      </c>
      <c r="C28" t="inlineStr">
        <is>
          <t>26-1123</t>
        </is>
      </c>
      <c r="D28" t="inlineStr">
        <is>
          <t>2026-09</t>
        </is>
      </c>
      <c r="E28" t="inlineStr">
        <is>
          <t>Евро Ази Сервис ХХК</t>
        </is>
      </c>
      <c r="F28" t="inlineStr">
        <is>
          <t>Buuruljuut Power Plant</t>
        </is>
      </c>
      <c r="G28" t="inlineStr">
        <is>
          <t>М банк</t>
        </is>
      </c>
      <c r="H28" t="inlineStr">
        <is>
          <t>1 удаагийн комбинзон</t>
        </is>
      </c>
      <c r="I28" t="inlineStr">
        <is>
          <t>ш</t>
        </is>
      </c>
      <c r="J28" s="2" t="n">
        <v>500</v>
      </c>
      <c r="K28" s="2" t="n">
        <v>8800</v>
      </c>
      <c r="L28" s="2">
        <f>J28*K28</f>
        <v/>
      </c>
      <c r="M28" s="2">
        <f>L28/1.1</f>
        <v/>
      </c>
      <c r="N28" s="2">
        <f>L28-M28</f>
        <v/>
      </c>
    </row>
    <row r="29">
      <c r="A29" t="n">
        <v>10</v>
      </c>
      <c r="B29" t="inlineStr">
        <is>
          <t>2026-09-02</t>
        </is>
      </c>
      <c r="C29" t="inlineStr">
        <is>
          <t>26-1123</t>
        </is>
      </c>
      <c r="D29" t="inlineStr">
        <is>
          <t>2026-09</t>
        </is>
      </c>
      <c r="E29" t="inlineStr">
        <is>
          <t>Евро Ази Сервис ХХК</t>
        </is>
      </c>
      <c r="F29" t="inlineStr">
        <is>
          <t>Buuruljuut Power Plant</t>
        </is>
      </c>
      <c r="G29" t="inlineStr">
        <is>
          <t>М банк</t>
        </is>
      </c>
      <c r="H29" t="inlineStr">
        <is>
          <t>Ажлын бээлий/ алгатай саарал</t>
        </is>
      </c>
      <c r="I29" t="inlineStr">
        <is>
          <t>ш</t>
        </is>
      </c>
      <c r="J29" s="2" t="n">
        <v>150</v>
      </c>
      <c r="K29" s="2" t="n">
        <v>16500</v>
      </c>
      <c r="L29" s="2">
        <f>J29*K29</f>
        <v/>
      </c>
      <c r="M29" s="2">
        <f>L29/1.1</f>
        <v/>
      </c>
      <c r="N29" s="2">
        <f>L29-M29</f>
        <v/>
      </c>
    </row>
    <row r="30">
      <c r="A30" t="n">
        <v>11</v>
      </c>
      <c r="B30" t="inlineStr">
        <is>
          <t>2026-09-02</t>
        </is>
      </c>
      <c r="C30" t="inlineStr">
        <is>
          <t>26-1124</t>
        </is>
      </c>
      <c r="D30" t="inlineStr">
        <is>
          <t>2026-09</t>
        </is>
      </c>
      <c r="E30" t="inlineStr">
        <is>
          <t>Евро Ази Сервис ХХК</t>
        </is>
      </c>
      <c r="F30" t="inlineStr">
        <is>
          <t>Buuruljuut Power Plant</t>
        </is>
      </c>
      <c r="G30" t="inlineStr">
        <is>
          <t>М банк</t>
        </is>
      </c>
      <c r="H30" t="inlineStr">
        <is>
          <t>3M 9502+ FFP2 Mask</t>
        </is>
      </c>
      <c r="I30" t="inlineStr">
        <is>
          <t>ш</t>
        </is>
      </c>
      <c r="J30" s="2" t="n">
        <v>1000</v>
      </c>
      <c r="K30" s="2" t="n">
        <v>1980</v>
      </c>
      <c r="L30" s="2">
        <f>J30*K30</f>
        <v/>
      </c>
      <c r="M30" s="2">
        <f>L30/1.1</f>
        <v/>
      </c>
      <c r="N30" s="2">
        <f>L30-M30</f>
        <v/>
      </c>
    </row>
    <row r="31">
      <c r="A31" t="n">
        <v>12</v>
      </c>
      <c r="B31" t="inlineStr">
        <is>
          <t>2026-09-02</t>
        </is>
      </c>
      <c r="C31" t="inlineStr">
        <is>
          <t>26-1125</t>
        </is>
      </c>
      <c r="D31" t="inlineStr">
        <is>
          <t>2026-09</t>
        </is>
      </c>
      <c r="E31" t="inlineStr">
        <is>
          <t>Евро Ази Сервис ХХК</t>
        </is>
      </c>
      <c r="F31" t="inlineStr">
        <is>
          <t>Buuruljuut Power Plant</t>
        </is>
      </c>
      <c r="G31" t="inlineStr">
        <is>
          <t>М банк</t>
        </is>
      </c>
      <c r="H31" t="inlineStr">
        <is>
          <t>TSI DustTrak II Handheld Aerosol Monitor</t>
        </is>
      </c>
      <c r="I31" t="inlineStr">
        <is>
          <t>ш</t>
        </is>
      </c>
      <c r="J31" s="2" t="n">
        <v>1</v>
      </c>
      <c r="K31" s="2" t="n">
        <v>23950000</v>
      </c>
      <c r="L31" s="2">
        <f>J31*K31</f>
        <v/>
      </c>
      <c r="M31" s="2">
        <f>L31/1.1</f>
        <v/>
      </c>
      <c r="N31" s="2">
        <f>L31-M31</f>
        <v/>
      </c>
    </row>
    <row r="32">
      <c r="A32" t="n">
        <v>13</v>
      </c>
      <c r="B32" t="inlineStr">
        <is>
          <t>2026-09-03</t>
        </is>
      </c>
      <c r="C32" t="inlineStr">
        <is>
          <t>26-1126</t>
        </is>
      </c>
      <c r="D32" t="inlineStr">
        <is>
          <t>2026-09</t>
        </is>
      </c>
      <c r="E32" t="inlineStr">
        <is>
          <t>Евро Ази Сервис ХХК</t>
        </is>
      </c>
      <c r="F32" t="inlineStr">
        <is>
          <t>Buuruljuut Power Plant</t>
        </is>
      </c>
      <c r="G32" t="inlineStr">
        <is>
          <t>М банк</t>
        </is>
      </c>
      <c r="H32" t="inlineStr">
        <is>
          <t>Гал унтраагуурын суурь /хуванцар</t>
        </is>
      </c>
      <c r="I32" t="inlineStr">
        <is>
          <t>ш</t>
        </is>
      </c>
      <c r="J32" s="2" t="n">
        <v>30</v>
      </c>
      <c r="K32" s="2" t="n">
        <v>16500</v>
      </c>
      <c r="L32" s="2">
        <f>J32*K32</f>
        <v/>
      </c>
      <c r="M32" s="2">
        <f>L32/1.1</f>
        <v/>
      </c>
      <c r="N32" s="2">
        <f>L32-M32</f>
        <v/>
      </c>
    </row>
    <row r="33">
      <c r="A33" t="n">
        <v>14</v>
      </c>
      <c r="B33" t="inlineStr">
        <is>
          <t>2026-09-08</t>
        </is>
      </c>
      <c r="C33" t="inlineStr">
        <is>
          <t>26-1130</t>
        </is>
      </c>
      <c r="D33" t="inlineStr">
        <is>
          <t>2026-09</t>
        </is>
      </c>
      <c r="E33" t="inlineStr">
        <is>
          <t>Евро Ази Сервис ХХК</t>
        </is>
      </c>
      <c r="F33" t="inlineStr">
        <is>
          <t>Buuruljuut Power Plant</t>
        </is>
      </c>
      <c r="G33" t="inlineStr">
        <is>
          <t>М банк</t>
        </is>
      </c>
      <c r="H33" t="inlineStr">
        <is>
          <t>Гидрантын хаалт Ф65</t>
        </is>
      </c>
      <c r="I33" t="inlineStr">
        <is>
          <t>ш</t>
        </is>
      </c>
      <c r="J33" s="2" t="n">
        <v>80</v>
      </c>
      <c r="K33" s="2" t="n">
        <v>165000</v>
      </c>
      <c r="L33" s="2">
        <f>J33*K33</f>
        <v/>
      </c>
      <c r="M33" s="2">
        <f>L33/1.1</f>
        <v/>
      </c>
      <c r="N33" s="2">
        <f>L33-M33</f>
        <v/>
      </c>
    </row>
    <row r="34">
      <c r="A34" s="3" t="inlineStr">
        <is>
          <t>НИЙТ</t>
        </is>
      </c>
      <c r="B34" s="3" t="inlineStr"/>
      <c r="C34" s="3" t="inlineStr"/>
      <c r="D34" s="3" t="inlineStr"/>
      <c r="E34" s="3" t="inlineStr"/>
      <c r="F34" s="3" t="inlineStr"/>
      <c r="G34" s="3" t="inlineStr"/>
      <c r="H34" s="3" t="inlineStr"/>
      <c r="I34" s="3" t="inlineStr"/>
      <c r="J34" s="4">
        <f>SUM(J2:J33)</f>
        <v/>
      </c>
      <c r="K34" s="4" t="inlineStr"/>
      <c r="L34" s="4">
        <f>SUM(L2:L33)</f>
        <v/>
      </c>
      <c r="M34" s="4">
        <f>SUM(M2:M33)</f>
        <v/>
      </c>
      <c r="N34" s="4">
        <f>SUM(N2:N33)</f>
        <v/>
      </c>
    </row>
  </sheetData>
  <autoFilter ref="A1:N3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8" customWidth="1" min="3" max="3"/>
    <col width="18" customWidth="1" min="4" max="4"/>
    <col width="16" customWidth="1" min="5" max="5"/>
  </cols>
  <sheetData>
    <row r="1">
      <c r="A1" s="1" t="inlineStr">
        <is>
          <t>Сар</t>
        </is>
      </c>
      <c r="B1" s="1" t="inlineStr">
        <is>
          <t>Нэхэмжлэхийн тоо</t>
        </is>
      </c>
      <c r="C1" s="1" t="inlineStr">
        <is>
          <t>Нийт (НӨАТ-тэй)</t>
        </is>
      </c>
      <c r="D1" s="1" t="inlineStr">
        <is>
          <t>НӨАТ-гүй</t>
        </is>
      </c>
      <c r="E1" s="1" t="inlineStr">
        <is>
          <t>НӨАТ 10%</t>
        </is>
      </c>
    </row>
    <row r="2">
      <c r="A2" t="inlineStr">
        <is>
          <t>2026-07</t>
        </is>
      </c>
      <c r="B2" s="2">
        <f>COUNTIFS(Нэхэмжлэх!B:B,A2&amp;"*")</f>
        <v/>
      </c>
      <c r="C2" s="2">
        <f>SUMIF(Мөрүүд!D:D,A2,Мөрүүд!L:L)</f>
        <v/>
      </c>
      <c r="D2" s="2">
        <f>C2/1.1</f>
        <v/>
      </c>
      <c r="E2" s="2">
        <f>C2-D2</f>
        <v/>
      </c>
    </row>
    <row r="3">
      <c r="A3" t="inlineStr">
        <is>
          <t>2026-08</t>
        </is>
      </c>
      <c r="B3" s="2">
        <f>COUNTIFS(Нэхэмжлэх!B:B,A3&amp;"*")</f>
        <v/>
      </c>
      <c r="C3" s="2">
        <f>SUMIF(Мөрүүд!D:D,A3,Мөрүүд!L:L)</f>
        <v/>
      </c>
      <c r="D3" s="2">
        <f>C3/1.1</f>
        <v/>
      </c>
      <c r="E3" s="2">
        <f>C3-D3</f>
        <v/>
      </c>
    </row>
    <row r="4">
      <c r="A4" t="inlineStr">
        <is>
          <t>2026-09</t>
        </is>
      </c>
      <c r="B4" s="2">
        <f>COUNTIFS(Нэхэмжлэх!B:B,A4&amp;"*")</f>
        <v/>
      </c>
      <c r="C4" s="2">
        <f>SUMIF(Мөрүүд!D:D,A4,Мөрүүд!L:L)</f>
        <v/>
      </c>
      <c r="D4" s="2">
        <f>C4/1.1</f>
        <v/>
      </c>
      <c r="E4" s="2">
        <f>C4-D4</f>
        <v/>
      </c>
    </row>
    <row r="5">
      <c r="A5" s="3" t="inlineStr">
        <is>
          <t>НИЙТ</t>
        </is>
      </c>
      <c r="B5" s="4">
        <f>SUM(B2:B4)</f>
        <v/>
      </c>
      <c r="C5" s="4">
        <f>SUM(C2:C4)</f>
        <v/>
      </c>
      <c r="D5" s="4">
        <f>SUM(D2:D4)</f>
        <v/>
      </c>
      <c r="E5" s="4">
        <f>SUM(E2:E4)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7" customWidth="1" min="2" max="2"/>
    <col width="12" customWidth="1" min="3" max="3"/>
    <col width="14" customWidth="1" min="4" max="4"/>
    <col width="18" customWidth="1" min="5" max="5"/>
  </cols>
  <sheetData>
    <row r="1">
      <c r="A1" s="1" t="inlineStr">
        <is>
          <t>Бараа материал</t>
        </is>
      </c>
      <c r="B1" s="1" t="inlineStr">
        <is>
          <t>Нэгж</t>
        </is>
      </c>
      <c r="C1" s="1" t="inlineStr">
        <is>
          <t>Нийт тоо</t>
        </is>
      </c>
      <c r="D1" s="1" t="inlineStr">
        <is>
          <t>Дундаж үнэ</t>
        </is>
      </c>
      <c r="E1" s="1" t="inlineStr">
        <is>
          <t>Нийт (НӨАТ-тэй)</t>
        </is>
      </c>
    </row>
    <row r="2">
      <c r="A2" t="inlineStr">
        <is>
          <t>1 удаагийн комбинзон</t>
        </is>
      </c>
      <c r="B2" t="inlineStr">
        <is>
          <t>ш</t>
        </is>
      </c>
      <c r="C2" s="2">
        <f>SUMIF(Мөрүүд!H:H,A2,Мөрүүд!J:J)</f>
        <v/>
      </c>
      <c r="D2" s="2">
        <f>IFERROR(E2/C2,0)</f>
        <v/>
      </c>
      <c r="E2" s="2">
        <f>SUMIF(Мөрүүд!H:H,A2,Мөрүүд!L:L)</f>
        <v/>
      </c>
    </row>
    <row r="3">
      <c r="A3" t="inlineStr">
        <is>
          <t>3M 9502+ FFP2 Mask</t>
        </is>
      </c>
      <c r="B3" t="inlineStr">
        <is>
          <t>ш</t>
        </is>
      </c>
      <c r="C3" s="2">
        <f>SUMIF(Мөрүүд!H:H,A3,Мөрүүд!J:J)</f>
        <v/>
      </c>
      <c r="D3" s="2">
        <f>IFERROR(E3/C3,0)</f>
        <v/>
      </c>
      <c r="E3" s="2">
        <f>SUMIF(Мөрүүд!H:H,A3,Мөрүүд!L:L)</f>
        <v/>
      </c>
    </row>
    <row r="4">
      <c r="A4" t="inlineStr">
        <is>
          <t>N95 маск</t>
        </is>
      </c>
      <c r="B4" t="inlineStr">
        <is>
          <t>ш</t>
        </is>
      </c>
      <c r="C4" s="2">
        <f>SUMIF(Мөрүүд!H:H,A4,Мөрүүд!J:J)</f>
        <v/>
      </c>
      <c r="D4" s="2">
        <f>IFERROR(E4/C4,0)</f>
        <v/>
      </c>
      <c r="E4" s="2">
        <f>SUMIF(Мөрүүд!H:H,A4,Мөрүүд!L:L)</f>
        <v/>
      </c>
    </row>
    <row r="5">
      <c r="A5" t="inlineStr">
        <is>
          <t>TSI DustTrak II Handheld Aerosol Monitor</t>
        </is>
      </c>
      <c r="B5" t="inlineStr">
        <is>
          <t>ш</t>
        </is>
      </c>
      <c r="C5" s="2">
        <f>SUMIF(Мөрүүд!H:H,A5,Мөрүүд!J:J)</f>
        <v/>
      </c>
      <c r="D5" s="2">
        <f>IFERROR(E5/C5,0)</f>
        <v/>
      </c>
      <c r="E5" s="2">
        <f>SUMIF(Мөрүүд!H:H,A5,Мөрүүд!L:L)</f>
        <v/>
      </c>
    </row>
    <row r="6">
      <c r="A6" t="inlineStr">
        <is>
          <t>Ажлын бээлий/ алгатай саарал</t>
        </is>
      </c>
      <c r="B6" t="inlineStr">
        <is>
          <t>ш</t>
        </is>
      </c>
      <c r="C6" s="2">
        <f>SUMIF(Мөрүүд!H:H,A6,Мөрүүд!J:J)</f>
        <v/>
      </c>
      <c r="D6" s="2">
        <f>IFERROR(E6/C6,0)</f>
        <v/>
      </c>
      <c r="E6" s="2">
        <f>SUMIF(Мөрүүд!H:H,A6,Мөрүүд!L:L)</f>
        <v/>
      </c>
    </row>
    <row r="7">
      <c r="A7" t="inlineStr">
        <is>
          <t>Алгатай бээлий</t>
        </is>
      </c>
      <c r="B7" t="inlineStr">
        <is>
          <t>ш</t>
        </is>
      </c>
      <c r="C7" s="2">
        <f>SUMIF(Мөрүүд!H:H,A7,Мөрүүд!J:J)</f>
        <v/>
      </c>
      <c r="D7" s="2">
        <f>IFERROR(E7/C7,0)</f>
        <v/>
      </c>
      <c r="E7" s="2">
        <f>SUMIF(Мөрүүд!H:H,A7,Мөрүүд!L:L)</f>
        <v/>
      </c>
    </row>
    <row r="8">
      <c r="A8" t="inlineStr">
        <is>
          <t>Асгаралтын иж бүрдэл 120л</t>
        </is>
      </c>
      <c r="B8" t="inlineStr">
        <is>
          <t>ш</t>
        </is>
      </c>
      <c r="C8" s="2">
        <f>SUMIF(Мөрүүд!H:H,A8,Мөрүүд!J:J)</f>
        <v/>
      </c>
      <c r="D8" s="2">
        <f>IFERROR(E8/C8,0)</f>
        <v/>
      </c>
      <c r="E8" s="2">
        <f>SUMIF(Мөрүүд!H:H,A8,Мөрүүд!L:L)</f>
        <v/>
      </c>
    </row>
    <row r="9">
      <c r="A9" t="inlineStr">
        <is>
          <t>Борооны цув</t>
        </is>
      </c>
      <c r="B9" t="inlineStr">
        <is>
          <t>ш</t>
        </is>
      </c>
      <c r="C9" s="2">
        <f>SUMIF(Мөрүүд!H:H,A9,Мөрүүд!J:J)</f>
        <v/>
      </c>
      <c r="D9" s="2">
        <f>IFERROR(E9/C9,0)</f>
        <v/>
      </c>
      <c r="E9" s="2">
        <f>SUMIF(Мөрүүд!H:H,A9,Мөрүүд!L:L)</f>
        <v/>
      </c>
    </row>
    <row r="10">
      <c r="A10" t="inlineStr">
        <is>
          <t>Бээлий /Цагаан</t>
        </is>
      </c>
      <c r="B10" t="inlineStr">
        <is>
          <t>ш</t>
        </is>
      </c>
      <c r="C10" s="2">
        <f>SUMIF(Мөрүүд!H:H,A10,Мөрүүд!J:J)</f>
        <v/>
      </c>
      <c r="D10" s="2">
        <f>IFERROR(E10/C10,0)</f>
        <v/>
      </c>
      <c r="E10" s="2">
        <f>SUMIF(Мөрүүд!H:H,A10,Мөрүүд!L:L)</f>
        <v/>
      </c>
    </row>
    <row r="11">
      <c r="A11" t="inlineStr">
        <is>
          <t>Гагнуурын багны гадна шил / цагаан</t>
        </is>
      </c>
      <c r="B11" t="inlineStr">
        <is>
          <t>ш</t>
        </is>
      </c>
      <c r="C11" s="2">
        <f>SUMIF(Мөрүүд!H:H,A11,Мөрүүд!J:J)</f>
        <v/>
      </c>
      <c r="D11" s="2">
        <f>IFERROR(E11/C11,0)</f>
        <v/>
      </c>
      <c r="E11" s="2">
        <f>SUMIF(Мөрүүд!H:H,A11,Мөрүүд!L:L)</f>
        <v/>
      </c>
    </row>
    <row r="12">
      <c r="A12" t="inlineStr">
        <is>
          <t>Гагнуурын бээлий арьсан материалтай нимгэн богино Kamelo</t>
        </is>
      </c>
      <c r="B12" t="inlineStr">
        <is>
          <t>ш</t>
        </is>
      </c>
      <c r="C12" s="2">
        <f>SUMIF(Мөрүүд!H:H,A12,Мөрүүд!J:J)</f>
        <v/>
      </c>
      <c r="D12" s="2">
        <f>IFERROR(E12/C12,0)</f>
        <v/>
      </c>
      <c r="E12" s="2">
        <f>SUMIF(Мөрүүд!H:H,A12,Мөрүүд!L:L)</f>
        <v/>
      </c>
    </row>
    <row r="13">
      <c r="A13" t="inlineStr">
        <is>
          <t>Гагнуурын бээлий илгэн материалтай урт Honeywell</t>
        </is>
      </c>
      <c r="B13" t="inlineStr">
        <is>
          <t>ш</t>
        </is>
      </c>
      <c r="C13" s="2">
        <f>SUMIF(Мөрүүд!H:H,A13,Мөрүүд!J:J)</f>
        <v/>
      </c>
      <c r="D13" s="2">
        <f>IFERROR(E13/C13,0)</f>
        <v/>
      </c>
      <c r="E13" s="2">
        <f>SUMIF(Мөрүүд!H:H,A13,Мөрүүд!L:L)</f>
        <v/>
      </c>
    </row>
    <row r="14">
      <c r="A14" t="inlineStr">
        <is>
          <t>Гагнуурын хормогч илгэн материалтай</t>
        </is>
      </c>
      <c r="B14" t="inlineStr">
        <is>
          <t>ш</t>
        </is>
      </c>
      <c r="C14" s="2">
        <f>SUMIF(Мөрүүд!H:H,A14,Мөрүүд!J:J)</f>
        <v/>
      </c>
      <c r="D14" s="2">
        <f>IFERROR(E14/C14,0)</f>
        <v/>
      </c>
      <c r="E14" s="2">
        <f>SUMIF(Мөрүүд!H:H,A14,Мөрүүд!L:L)</f>
        <v/>
      </c>
    </row>
    <row r="15">
      <c r="A15" t="inlineStr">
        <is>
          <t>Гагнуурын хувцас илгэн материалтай өмд цамц</t>
        </is>
      </c>
      <c r="B15" t="inlineStr">
        <is>
          <t>ш</t>
        </is>
      </c>
      <c r="C15" s="2">
        <f>SUMIF(Мөрүүд!H:H,A15,Мөрүүд!J:J)</f>
        <v/>
      </c>
      <c r="D15" s="2">
        <f>IFERROR(E15/C15,0)</f>
        <v/>
      </c>
      <c r="E15" s="2">
        <f>SUMIF(Мөрүүд!H:H,A15,Мөрүүд!L:L)</f>
        <v/>
      </c>
    </row>
    <row r="16">
      <c r="A16" t="inlineStr">
        <is>
          <t>Гал унтраагуур цэнэглэлт 35кг</t>
        </is>
      </c>
      <c r="B16" t="inlineStr">
        <is>
          <t>ш</t>
        </is>
      </c>
      <c r="C16" s="2">
        <f>SUMIF(Мөрүүд!H:H,A16,Мөрүүд!J:J)</f>
        <v/>
      </c>
      <c r="D16" s="2">
        <f>IFERROR(E16/C16,0)</f>
        <v/>
      </c>
      <c r="E16" s="2">
        <f>SUMIF(Мөрүүд!H:H,A16,Мөрүүд!L:L)</f>
        <v/>
      </c>
    </row>
    <row r="17">
      <c r="A17" t="inlineStr">
        <is>
          <t>Гал унтраагуур цэнэглэлт 4кг</t>
        </is>
      </c>
      <c r="B17" t="inlineStr">
        <is>
          <t>ш</t>
        </is>
      </c>
      <c r="C17" s="2">
        <f>SUMIF(Мөрүүд!H:H,A17,Мөрүүд!J:J)</f>
        <v/>
      </c>
      <c r="D17" s="2">
        <f>IFERROR(E17/C17,0)</f>
        <v/>
      </c>
      <c r="E17" s="2">
        <f>SUMIF(Мөрүүд!H:H,A17,Мөрүүд!L:L)</f>
        <v/>
      </c>
    </row>
    <row r="18">
      <c r="A18" t="inlineStr">
        <is>
          <t>Гал унтраагуур цэнэглэлт 6кг</t>
        </is>
      </c>
      <c r="B18" t="inlineStr">
        <is>
          <t>ш</t>
        </is>
      </c>
      <c r="C18" s="2">
        <f>SUMIF(Мөрүүд!H:H,A18,Мөрүүд!J:J)</f>
        <v/>
      </c>
      <c r="D18" s="2">
        <f>IFERROR(E18/C18,0)</f>
        <v/>
      </c>
      <c r="E18" s="2">
        <f>SUMIF(Мөрүүд!H:H,A18,Мөрүүд!L:L)</f>
        <v/>
      </c>
    </row>
    <row r="19">
      <c r="A19" t="inlineStr">
        <is>
          <t>Гал унтраагуур цэнэглэлт 9кг</t>
        </is>
      </c>
      <c r="B19" t="inlineStr">
        <is>
          <t>ш</t>
        </is>
      </c>
      <c r="C19" s="2">
        <f>SUMIF(Мөрүүд!H:H,A19,Мөрүүд!J:J)</f>
        <v/>
      </c>
      <c r="D19" s="2">
        <f>IFERROR(E19/C19,0)</f>
        <v/>
      </c>
      <c r="E19" s="2">
        <f>SUMIF(Мөрүүд!H:H,A19,Мөрүүд!L:L)</f>
        <v/>
      </c>
    </row>
    <row r="20">
      <c r="A20" t="inlineStr">
        <is>
          <t>Гал унтраагуурын суурь /хуванцар</t>
        </is>
      </c>
      <c r="B20" t="inlineStr">
        <is>
          <t>ш</t>
        </is>
      </c>
      <c r="C20" s="2">
        <f>SUMIF(Мөрүүд!H:H,A20,Мөрүүд!J:J)</f>
        <v/>
      </c>
      <c r="D20" s="2">
        <f>IFERROR(E20/C20,0)</f>
        <v/>
      </c>
      <c r="E20" s="2">
        <f>SUMIF(Мөрүүд!H:H,A20,Мөрүүд!L:L)</f>
        <v/>
      </c>
    </row>
    <row r="21">
      <c r="A21" t="inlineStr">
        <is>
          <t>Галын сарай их бүрдэл</t>
        </is>
      </c>
      <c r="B21" t="inlineStr">
        <is>
          <t>ш</t>
        </is>
      </c>
      <c r="C21" s="2">
        <f>SUMIF(Мөрүүд!H:H,A21,Мөрүүд!J:J)</f>
        <v/>
      </c>
      <c r="D21" s="2">
        <f>IFERROR(E21/C21,0)</f>
        <v/>
      </c>
      <c r="E21" s="2">
        <f>SUMIF(Мөрүүд!H:H,A21,Мөрүүд!L:L)</f>
        <v/>
      </c>
    </row>
    <row r="22">
      <c r="A22" t="inlineStr">
        <is>
          <t>Гидрантын хаалт Ф65</t>
        </is>
      </c>
      <c r="B22" t="inlineStr">
        <is>
          <t>ш</t>
        </is>
      </c>
      <c r="C22" s="2">
        <f>SUMIF(Мөрүүд!H:H,A22,Мөрүүд!J:J)</f>
        <v/>
      </c>
      <c r="D22" s="2">
        <f>IFERROR(E22/C22,0)</f>
        <v/>
      </c>
      <c r="E22" s="2">
        <f>SUMIF(Мөрүүд!H:H,A22,Мөрүүд!L:L)</f>
        <v/>
      </c>
    </row>
    <row r="23">
      <c r="A23" t="inlineStr">
        <is>
          <t>Духны гэрэл</t>
        </is>
      </c>
      <c r="B23" t="inlineStr">
        <is>
          <t>ш</t>
        </is>
      </c>
      <c r="C23" s="2">
        <f>SUMIF(Мөрүүд!H:H,A23,Мөрүүд!J:J)</f>
        <v/>
      </c>
      <c r="D23" s="2">
        <f>IFERROR(E23/C23,0)</f>
        <v/>
      </c>
      <c r="E23" s="2">
        <f>SUMIF(Мөрүүд!H:H,A23,Мөрүүд!L:L)</f>
        <v/>
      </c>
    </row>
    <row r="24">
      <c r="A24" t="inlineStr">
        <is>
          <t>Комбинзон (угаадаг)</t>
        </is>
      </c>
      <c r="B24" t="inlineStr">
        <is>
          <t>ш</t>
        </is>
      </c>
      <c r="C24" s="2">
        <f>SUMIF(Мөрүүд!H:H,A24,Мөрүүд!J:J)</f>
        <v/>
      </c>
      <c r="D24" s="2">
        <f>IFERROR(E24/C24,0)</f>
        <v/>
      </c>
      <c r="E24" s="2">
        <f>SUMIF(Мөрүүд!H:H,A24,Мөрүүд!L:L)</f>
        <v/>
      </c>
    </row>
    <row r="25">
      <c r="A25" t="inlineStr">
        <is>
          <t>Нэг удаагийн малгай</t>
        </is>
      </c>
      <c r="B25" t="inlineStr">
        <is>
          <t>ш</t>
        </is>
      </c>
      <c r="C25" s="2">
        <f>SUMIF(Мөрүүд!H:H,A25,Мөрүүд!J:J)</f>
        <v/>
      </c>
      <c r="D25" s="2">
        <f>IFERROR(E25/C25,0)</f>
        <v/>
      </c>
      <c r="E25" s="2">
        <f>SUMIF(Мөрүүд!H:H,A25,Мөрүүд!L:L)</f>
        <v/>
      </c>
    </row>
    <row r="26">
      <c r="A26" t="inlineStr">
        <is>
          <t>Тогтоогууртай нүд угаагч</t>
        </is>
      </c>
      <c r="B26" t="inlineStr">
        <is>
          <t>ш</t>
        </is>
      </c>
      <c r="C26" s="2">
        <f>SUMIF(Мөрүүд!H:H,A26,Мөрүүд!J:J)</f>
        <v/>
      </c>
      <c r="D26" s="2">
        <f>IFERROR(E26/C26,0)</f>
        <v/>
      </c>
      <c r="E26" s="2">
        <f>SUMIF(Мөрүүд!H:H,A26,Мөрүүд!L:L)</f>
        <v/>
      </c>
    </row>
    <row r="27">
      <c r="A27" t="inlineStr">
        <is>
          <t>Усны гутал</t>
        </is>
      </c>
      <c r="B27" t="inlineStr">
        <is>
          <t>ш</t>
        </is>
      </c>
      <c r="C27" s="2">
        <f>SUMIF(Мөрүүд!H:H,A27,Мөрүүд!J:J)</f>
        <v/>
      </c>
      <c r="D27" s="2">
        <f>IFERROR(E27/C27,0)</f>
        <v/>
      </c>
      <c r="E27" s="2">
        <f>SUMIF(Мөрүүд!H:H,A27,Мөрүүд!L:L)</f>
        <v/>
      </c>
    </row>
    <row r="28">
      <c r="A28" t="inlineStr">
        <is>
          <t>Хамелион багны дотор шил 3M Speedglas 100</t>
        </is>
      </c>
      <c r="B28" t="inlineStr">
        <is>
          <t>ш</t>
        </is>
      </c>
      <c r="C28" s="2">
        <f>SUMIF(Мөрүүд!H:H,A28,Мөрүүд!J:J)</f>
        <v/>
      </c>
      <c r="D28" s="2">
        <f>IFERROR(E28/C28,0)</f>
        <v/>
      </c>
      <c r="E28" s="2">
        <f>SUMIF(Мөрүүд!H:H,A28,Мөрүүд!L:L)</f>
        <v/>
      </c>
    </row>
    <row r="29">
      <c r="A29" t="inlineStr">
        <is>
          <t>Худалдан авах, худалдах гэрээний үлдэгдэл төлбөр</t>
        </is>
      </c>
      <c r="B29" t="inlineStr"/>
      <c r="C29" s="2">
        <f>SUMIF(Мөрүүд!H:H,A29,Мөрүүд!J:J)</f>
        <v/>
      </c>
      <c r="D29" s="2">
        <f>IFERROR(E29/C29,0)</f>
        <v/>
      </c>
      <c r="E29" s="2">
        <f>SUMIF(Мөрүүд!H:H,A29,Мөрүүд!L:L)</f>
        <v/>
      </c>
    </row>
    <row r="30">
      <c r="A30" s="3" t="inlineStr">
        <is>
          <t>НИЙТ</t>
        </is>
      </c>
      <c r="B30" s="3" t="inlineStr"/>
      <c r="C30" s="4" t="inlineStr"/>
      <c r="D30" s="4" t="inlineStr"/>
      <c r="E30" s="4">
        <f>SUM(E2:E29)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2026-10-02T10:04:02Z</dcterms:created>
  <dcterms:modified xsi:type="dcterms:W3CDTF">2026-10-02T10:04:02Z</dcterms:modified>
</cp:coreProperties>
</file>